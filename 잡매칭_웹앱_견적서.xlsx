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요약" sheetId="1" state="visible" r:id="rId3"/>
    <sheet name="1안_수동" sheetId="2" state="visible" r:id="rId4"/>
    <sheet name="2안_필터" sheetId="3" state="visible" r:id="rId5"/>
    <sheet name="3안_A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<sst xmlns="http://schemas.openxmlformats.org/spreadsheetml/2006/main" count="190" uniqueCount="81">
  <si>
    <t xml:space="preserve">잡 매칭 웹앱 개발 견적서</t>
  </si>
  <si>
    <r>
      <rPr>
        <sz val="11"/>
        <color rgb="FF333333"/>
        <rFont val="Noto Sans CJK SC"/>
        <family val="2"/>
      </rPr>
      <t xml:space="preserve">대학생 ↔ 기업 채용 매칭 플랫폼 </t>
    </r>
    <r>
      <rPr>
        <sz val="11"/>
        <color rgb="FF333333"/>
        <rFont val="맑은 고딕"/>
        <family val="0"/>
        <charset val="1"/>
      </rPr>
      <t xml:space="preserve">(MVP)</t>
    </r>
  </si>
  <si>
    <t xml:space="preserve">발주처</t>
  </si>
  <si>
    <r>
      <rPr>
        <sz val="10"/>
        <color rgb="FF000000"/>
        <rFont val="Noto Sans CJK SC"/>
        <family val="2"/>
      </rPr>
      <t xml:space="preserve">스마택트 </t>
    </r>
    <r>
      <rPr>
        <sz val="10"/>
        <color rgb="FF000000"/>
        <rFont val="맑은 고딕"/>
        <family val="0"/>
        <charset val="1"/>
      </rPr>
      <t xml:space="preserve">(smartact.kr)</t>
    </r>
  </si>
  <si>
    <t xml:space="preserve">프로젝트</t>
  </si>
  <si>
    <r>
      <rPr>
        <sz val="10"/>
        <color rgb="FF000000"/>
        <rFont val="Noto Sans CJK SC"/>
        <family val="2"/>
      </rPr>
      <t xml:space="preserve">대학생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기업 잡 매칭 웹앱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회원가입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로그인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관리자 대시보드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</si>
  <si>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규모</t>
  </si>
  <si>
    <r>
      <rPr>
        <sz val="10"/>
        <color rgb="FF000000"/>
        <rFont val="Noto Sans CJK SC"/>
        <family val="2"/>
      </rPr>
      <t xml:space="preserve">대학생 회원 </t>
    </r>
    <r>
      <rPr>
        <sz val="10"/>
        <color rgb="FF000000"/>
        <rFont val="맑은 고딕"/>
        <family val="0"/>
        <charset val="1"/>
      </rPr>
      <t xml:space="preserve">400~500</t>
    </r>
    <r>
      <rPr>
        <sz val="10"/>
        <color rgb="FF000000"/>
        <rFont val="Noto Sans CJK SC"/>
        <family val="2"/>
      </rPr>
      <t xml:space="preserve">명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채용기업 </t>
    </r>
    <r>
      <rPr>
        <sz val="10"/>
        <color rgb="FF000000"/>
        <rFont val="맑은 고딕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개사 규모</t>
    </r>
  </si>
  <si>
    <t xml:space="preserve">개발 형태</t>
  </si>
  <si>
    <r>
      <rPr>
        <sz val="10"/>
        <color rgb="FF000000"/>
        <rFont val="Noto Sans CJK SC"/>
        <family val="2"/>
      </rPr>
      <t xml:space="preserve">반응형 웹앱 </t>
    </r>
    <r>
      <rPr>
        <sz val="10"/>
        <color rgb="FF000000"/>
        <rFont val="맑은 고딕"/>
        <family val="0"/>
        <charset val="1"/>
      </rPr>
      <t xml:space="preserve">(PC + </t>
    </r>
    <r>
      <rPr>
        <sz val="10"/>
        <color rgb="FF000000"/>
        <rFont val="Noto Sans CJK SC"/>
        <family val="2"/>
      </rPr>
      <t xml:space="preserve">모바일 웹 대응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</si>
  <si>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개발 기간</t>
  </si>
  <si>
    <r>
      <rPr>
        <sz val="10"/>
        <color rgb="FF000000"/>
        <rFont val="맑은 고딕"/>
        <family val="0"/>
        <charset val="1"/>
      </rPr>
      <t xml:space="preserve">MVP </t>
    </r>
    <r>
      <rPr>
        <sz val="10"/>
        <color rgb="FF000000"/>
        <rFont val="Noto Sans CJK SC"/>
        <family val="2"/>
      </rPr>
      <t xml:space="preserve">기준 약 </t>
    </r>
    <r>
      <rPr>
        <sz val="10"/>
        <color rgb="FF000000"/>
        <rFont val="맑은 고딕"/>
        <family val="0"/>
        <charset val="1"/>
      </rPr>
      <t xml:space="preserve">2~3</t>
    </r>
    <r>
      <rPr>
        <sz val="10"/>
        <color rgb="FF000000"/>
        <rFont val="Noto Sans CJK SC"/>
        <family val="2"/>
      </rPr>
      <t xml:space="preserve">개월</t>
    </r>
  </si>
  <si>
    <t xml:space="preserve">부가 기능</t>
  </si>
  <si>
    <r>
      <rPr>
        <sz val="10"/>
        <color rgb="FF000000"/>
        <rFont val="Noto Sans CJK SC"/>
        <family val="2"/>
      </rPr>
      <t xml:space="preserve">문자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카카오 알림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화상면접 연동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결제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정산</t>
    </r>
  </si>
  <si>
    <t xml:space="preserve">작성일</t>
  </si>
  <si>
    <t xml:space="preserve">2026-06-03</t>
  </si>
  <si>
    <r>
      <rPr>
        <b val="true"/>
        <sz val="13"/>
        <color rgb="FFE8345A"/>
        <rFont val="Noto Sans CJK SC"/>
        <family val="2"/>
      </rPr>
      <t xml:space="preserve">■ 매칭 방식 </t>
    </r>
    <r>
      <rPr>
        <b val="true"/>
        <sz val="13"/>
        <color rgb="FFE8345A"/>
        <rFont val="맑은 고딕"/>
        <family val="0"/>
        <charset val="1"/>
      </rPr>
      <t xml:space="preserve">3</t>
    </r>
    <r>
      <rPr>
        <b val="true"/>
        <sz val="13"/>
        <color rgb="FFE8345A"/>
        <rFont val="Noto Sans CJK SC"/>
        <family val="2"/>
      </rPr>
      <t xml:space="preserve">가지 안 비교</t>
    </r>
  </si>
  <si>
    <t xml:space="preserve">구분</t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</si>
  <si>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안</t>
    </r>
    <r>
      <rPr>
        <b val="true"/>
        <sz val="10"/>
        <color rgb="FFFFFFFF"/>
        <rFont val="맑은 고딕"/>
        <family val="0"/>
        <charset val="1"/>
      </rPr>
      <t xml:space="preserve">. </t>
    </r>
    <r>
      <rPr>
        <b val="true"/>
        <sz val="10"/>
        <color rgb="FFFFFFFF"/>
        <rFont val="Noto Sans CJK SC"/>
        <family val="2"/>
      </rPr>
      <t xml:space="preserve">수동 매칭</t>
    </r>
  </si>
  <si>
    <r>
      <rPr>
        <b val="true"/>
        <sz val="10"/>
        <color rgb="FFFFFFFF"/>
        <rFont val="맑은 고딕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안</t>
    </r>
    <r>
      <rPr>
        <b val="true"/>
        <sz val="10"/>
        <color rgb="FFFFFFFF"/>
        <rFont val="맑은 고딕"/>
        <family val="0"/>
        <charset val="1"/>
      </rPr>
      <t xml:space="preserve">. </t>
    </r>
    <r>
      <rPr>
        <b val="true"/>
        <sz val="10"/>
        <color rgb="FFFFFFFF"/>
        <rFont val="Noto Sans CJK SC"/>
        <family val="2"/>
      </rPr>
      <t xml:space="preserve">조건필터 추천</t>
    </r>
  </si>
  <si>
    <r>
      <rPr>
        <b val="true"/>
        <sz val="10"/>
        <color rgb="FFFFFFFF"/>
        <rFont val="맑은 고딕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안</t>
    </r>
    <r>
      <rPr>
        <b val="true"/>
        <sz val="10"/>
        <color rgb="FFFFFFFF"/>
        <rFont val="맑은 고딕"/>
        <family val="0"/>
        <charset val="1"/>
      </rPr>
      <t xml:space="preserve">. AI </t>
    </r>
    <r>
      <rPr>
        <b val="true"/>
        <sz val="10"/>
        <color rgb="FFFFFFFF"/>
        <rFont val="Noto Sans CJK SC"/>
        <family val="2"/>
      </rPr>
      <t xml:space="preserve">자동매칭</t>
    </r>
  </si>
  <si>
    <t xml:space="preserve">매칭 로직</t>
  </si>
  <si>
    <t xml:space="preserve">관리자가 수동 검토 후
연결</t>
  </si>
  <si>
    <r>
      <rPr>
        <sz val="10"/>
        <color rgb="FF000000"/>
        <rFont val="Noto Sans CJK SC"/>
        <family val="2"/>
      </rPr>
      <t xml:space="preserve">직무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지역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역량 조건
필터 기반 추천 정렬</t>
    </r>
  </si>
  <si>
    <r>
      <rPr>
        <sz val="10"/>
        <color rgb="FF000000"/>
        <rFont val="Noto Sans CJK SC"/>
        <family val="2"/>
      </rPr>
      <t xml:space="preserve">프로필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이력 분석
점수화 자동 추천</t>
    </r>
  </si>
  <si>
    <t xml:space="preserve">개발 난이도</t>
  </si>
  <si>
    <t xml:space="preserve">낮음</t>
  </si>
  <si>
    <t xml:space="preserve">중간</t>
  </si>
  <si>
    <t xml:space="preserve">높음</t>
  </si>
  <si>
    <t xml:space="preserve">적합 상황</t>
  </si>
  <si>
    <r>
      <rPr>
        <sz val="10"/>
        <color rgb="FF000000"/>
        <rFont val="Noto Sans CJK SC"/>
        <family val="2"/>
      </rPr>
      <t xml:space="preserve">초기 검증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소규모
빠른 출시</t>
    </r>
  </si>
  <si>
    <r>
      <rPr>
        <sz val="10"/>
        <color rgb="FF000000"/>
        <rFont val="Noto Sans CJK SC"/>
        <family val="2"/>
      </rPr>
      <t xml:space="preserve">실사용 가장 무난
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권장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</si>
  <si>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데이터 축적 후
고도화 단계</t>
  </si>
  <si>
    <r>
      <rPr>
        <sz val="10"/>
        <color rgb="FF000000"/>
        <rFont val="Noto Sans CJK SC"/>
        <family val="2"/>
      </rPr>
      <t xml:space="preserve">약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개월</t>
    </r>
  </si>
  <si>
    <r>
      <rPr>
        <sz val="10"/>
        <color rgb="FF000000"/>
        <rFont val="Noto Sans CJK SC"/>
        <family val="2"/>
      </rPr>
      <t xml:space="preserve">약 </t>
    </r>
    <r>
      <rPr>
        <sz val="10"/>
        <color rgb="FF000000"/>
        <rFont val="맑은 고딕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개월</t>
    </r>
  </si>
  <si>
    <r>
      <rPr>
        <sz val="10"/>
        <color rgb="FF000000"/>
        <rFont val="Noto Sans CJK SC"/>
        <family val="2"/>
      </rPr>
      <t xml:space="preserve">약 </t>
    </r>
    <r>
      <rPr>
        <sz val="10"/>
        <color rgb="FF000000"/>
        <rFont val="맑은 고딕"/>
        <family val="0"/>
        <charset val="1"/>
      </rPr>
      <t xml:space="preserve">3.5</t>
    </r>
    <r>
      <rPr>
        <sz val="10"/>
        <color rgb="FF000000"/>
        <rFont val="Noto Sans CJK SC"/>
        <family val="2"/>
      </rPr>
      <t xml:space="preserve">개월</t>
    </r>
  </si>
  <si>
    <t xml:space="preserve">공급가액</t>
  </si>
  <si>
    <r>
      <rPr>
        <b val="true"/>
        <sz val="10"/>
        <color rgb="FF333333"/>
        <rFont val="맑은 고딕"/>
        <family val="0"/>
        <charset val="1"/>
      </rPr>
      <t xml:space="preserve">VAT </t>
    </r>
    <r>
      <rPr>
        <b val="true"/>
        <sz val="10"/>
        <color rgb="FF333333"/>
        <rFont val="Noto Sans CJK SC"/>
        <family val="2"/>
      </rPr>
      <t xml:space="preserve">포함</t>
    </r>
  </si>
  <si>
    <r>
      <rPr>
        <sz val="9"/>
        <color rgb="FF888888"/>
        <rFont val="Noto Sans CJK SC"/>
        <family val="2"/>
      </rPr>
      <t xml:space="preserve">※ 상기 금액은 한국 외주 개발 통상 단가 기준 추정치이며</t>
    </r>
    <r>
      <rPr>
        <sz val="9"/>
        <color rgb="FF888888"/>
        <rFont val="맑은 고딕"/>
        <family val="0"/>
        <charset val="1"/>
      </rPr>
      <t xml:space="preserve">, </t>
    </r>
    <r>
      <rPr>
        <sz val="9"/>
        <color rgb="FF888888"/>
        <rFont val="Noto Sans CJK SC"/>
        <family val="2"/>
      </rPr>
      <t xml:space="preserve">상세 협의 시 조정될 수 있습니다</t>
    </r>
    <r>
      <rPr>
        <sz val="9"/>
        <color rgb="FF888888"/>
        <rFont val="맑은 고딕"/>
        <family val="0"/>
        <charset val="1"/>
      </rPr>
      <t xml:space="preserve">.
※ </t>
    </r>
    <r>
      <rPr>
        <sz val="9"/>
        <color rgb="FF888888"/>
        <rFont val="Noto Sans CJK SC"/>
        <family val="2"/>
      </rPr>
      <t xml:space="preserve">화상면접은 외부 솔루션</t>
    </r>
    <r>
      <rPr>
        <sz val="9"/>
        <color rgb="FF888888"/>
        <rFont val="맑은 고딕"/>
        <family val="0"/>
        <charset val="1"/>
      </rPr>
      <t xml:space="preserve">(Zoom/Whereby </t>
    </r>
    <r>
      <rPr>
        <sz val="9"/>
        <color rgb="FF888888"/>
        <rFont val="Noto Sans CJK SC"/>
        <family val="2"/>
      </rPr>
      <t xml:space="preserve">등</t>
    </r>
    <r>
      <rPr>
        <sz val="9"/>
        <color rgb="FF888888"/>
        <rFont val="맑은 고딕"/>
        <family val="0"/>
        <charset val="1"/>
      </rPr>
      <t xml:space="preserve">) </t>
    </r>
    <r>
      <rPr>
        <sz val="9"/>
        <color rgb="FF888888"/>
        <rFont val="Noto Sans CJK SC"/>
        <family val="2"/>
      </rPr>
      <t xml:space="preserve">연동 기준</t>
    </r>
    <r>
      <rPr>
        <sz val="9"/>
        <color rgb="FF888888"/>
        <rFont val="맑은 고딕"/>
        <family val="0"/>
        <charset val="1"/>
      </rPr>
      <t xml:space="preserve">, </t>
    </r>
    <r>
      <rPr>
        <sz val="9"/>
        <color rgb="FF888888"/>
        <rFont val="Noto Sans CJK SC"/>
        <family val="2"/>
      </rPr>
      <t xml:space="preserve">결제</t>
    </r>
    <r>
      <rPr>
        <sz val="9"/>
        <color rgb="FF888888"/>
        <rFont val="맑은 고딕"/>
        <family val="0"/>
        <charset val="1"/>
      </rPr>
      <t xml:space="preserve">/</t>
    </r>
    <r>
      <rPr>
        <sz val="9"/>
        <color rgb="FF888888"/>
        <rFont val="Noto Sans CJK SC"/>
        <family val="2"/>
      </rPr>
      <t xml:space="preserve">정산은 </t>
    </r>
    <r>
      <rPr>
        <sz val="9"/>
        <color rgb="FF888888"/>
        <rFont val="맑은 고딕"/>
        <family val="0"/>
        <charset val="1"/>
      </rPr>
      <t xml:space="preserve">PG</t>
    </r>
    <r>
      <rPr>
        <sz val="9"/>
        <color rgb="FF888888"/>
        <rFont val="Noto Sans CJK SC"/>
        <family val="2"/>
      </rPr>
      <t xml:space="preserve">사 연동 기준입니다</t>
    </r>
    <r>
      <rPr>
        <sz val="9"/>
        <color rgb="FF888888"/>
        <rFont val="맑은 고딕"/>
        <family val="0"/>
        <charset val="1"/>
      </rPr>
      <t xml:space="preserve">.</t>
    </r>
  </si>
  <si>
    <r>
      <rPr>
        <b val="true"/>
        <sz val="16"/>
        <color rgb="FFE8345A"/>
        <rFont val="맑은 고딕"/>
        <family val="0"/>
        <charset val="1"/>
      </rPr>
      <t xml:space="preserve">1</t>
    </r>
    <r>
      <rPr>
        <b val="true"/>
        <sz val="16"/>
        <color rgb="FFE8345A"/>
        <rFont val="Noto Sans CJK SC"/>
        <family val="2"/>
      </rPr>
      <t xml:space="preserve">안</t>
    </r>
    <r>
      <rPr>
        <b val="true"/>
        <sz val="16"/>
        <color rgb="FFE8345A"/>
        <rFont val="맑은 고딕"/>
        <family val="0"/>
        <charset val="1"/>
      </rPr>
      <t xml:space="preserve">. </t>
    </r>
    <r>
      <rPr>
        <b val="true"/>
        <sz val="16"/>
        <color rgb="FFE8345A"/>
        <rFont val="Noto Sans CJK SC"/>
        <family val="2"/>
      </rPr>
      <t xml:space="preserve">수동 매칭 — 상세 견적</t>
    </r>
  </si>
  <si>
    <r>
      <rPr>
        <sz val="9"/>
        <color rgb="FF888888"/>
        <rFont val="맑은 고딕"/>
        <family val="0"/>
        <charset val="1"/>
      </rPr>
      <t xml:space="preserve">1 man-day </t>
    </r>
    <r>
      <rPr>
        <sz val="9"/>
        <color rgb="FF888888"/>
        <rFont val="Noto Sans CJK SC"/>
        <family val="2"/>
      </rPr>
      <t xml:space="preserve">단가</t>
    </r>
    <r>
      <rPr>
        <sz val="9"/>
        <color rgb="FF888888"/>
        <rFont val="맑은 고딕"/>
        <family val="0"/>
        <charset val="1"/>
      </rPr>
      <t xml:space="preserve">: 350,000</t>
    </r>
    <r>
      <rPr>
        <sz val="9"/>
        <color rgb="FF888888"/>
        <rFont val="Noto Sans CJK SC"/>
        <family val="2"/>
      </rPr>
      <t xml:space="preserve">원 기준 </t>
    </r>
    <r>
      <rPr>
        <sz val="9"/>
        <color rgb="FF888888"/>
        <rFont val="맑은 고딕"/>
        <family val="0"/>
        <charset val="1"/>
      </rPr>
      <t xml:space="preserve">(</t>
    </r>
    <r>
      <rPr>
        <sz val="9"/>
        <color rgb="FF888888"/>
        <rFont val="Noto Sans CJK SC"/>
        <family val="2"/>
      </rPr>
      <t xml:space="preserve">중급 개발자 평균</t>
    </r>
    <r>
      <rPr>
        <sz val="9"/>
        <color rgb="FF888888"/>
        <rFont val="맑은 고딕"/>
        <family val="0"/>
        <charset val="1"/>
      </rPr>
      <t xml:space="preserve">)</t>
    </r>
  </si>
  <si>
    <t xml:space="preserve">분류</t>
  </si>
  <si>
    <t xml:space="preserve">작업 항목</t>
  </si>
  <si>
    <r>
      <rPr>
        <b val="true"/>
        <sz val="10"/>
        <color rgb="FFFFFFFF"/>
        <rFont val="Noto Sans CJK SC"/>
        <family val="2"/>
      </rPr>
      <t xml:space="preserve">투입</t>
    </r>
    <r>
      <rPr>
        <b val="true"/>
        <sz val="10"/>
        <color rgb="FFFFFFFF"/>
        <rFont val="맑은 고딕"/>
        <family val="0"/>
        <charset val="1"/>
      </rPr>
      <t xml:space="preserve">(M/D)</t>
    </r>
  </si>
  <si>
    <r>
      <rPr>
        <b val="true"/>
        <sz val="10"/>
        <color rgb="FFFFFFFF"/>
        <rFont val="Noto Sans CJK SC"/>
        <family val="2"/>
      </rPr>
      <t xml:space="preserve">단가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</si>
  <si>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금액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</si>
  <si>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기획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설계</t>
    </r>
  </si>
  <si>
    <r>
      <rPr>
        <sz val="9"/>
        <color rgb="FF000000"/>
        <rFont val="Noto Sans CJK SC"/>
        <family val="2"/>
      </rPr>
      <t xml:space="preserve">요구사항 정의 </t>
    </r>
    <r>
      <rPr>
        <sz val="9"/>
        <color rgb="FF000000"/>
        <rFont val="맑은 고딕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화면설계</t>
    </r>
    <r>
      <rPr>
        <sz val="9"/>
        <color rgb="FF000000"/>
        <rFont val="맑은 고딕"/>
        <family val="0"/>
        <charset val="1"/>
      </rPr>
      <t xml:space="preserve">(IA/</t>
    </r>
    <r>
      <rPr>
        <sz val="9"/>
        <color rgb="FF000000"/>
        <rFont val="Noto Sans CJK SC"/>
        <family val="2"/>
      </rPr>
      <t xml:space="preserve">와이어프레임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</si>
  <si>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DB </t>
    </r>
    <r>
      <rPr>
        <sz val="9"/>
        <color rgb="FF000000"/>
        <rFont val="Noto Sans CJK SC"/>
        <family val="2"/>
      </rPr>
      <t xml:space="preserve">설계 </t>
    </r>
    <r>
      <rPr>
        <sz val="9"/>
        <color rgb="FF000000"/>
        <rFont val="맑은 고딕"/>
        <family val="0"/>
        <charset val="1"/>
      </rPr>
      <t xml:space="preserve">· API </t>
    </r>
    <r>
      <rPr>
        <sz val="9"/>
        <color rgb="FF000000"/>
        <rFont val="Noto Sans CJK SC"/>
        <family val="2"/>
      </rPr>
      <t xml:space="preserve">설계</t>
    </r>
  </si>
  <si>
    <r>
      <rPr>
        <sz val="9"/>
        <color rgb="FF000000"/>
        <rFont val="맑은 고딕"/>
        <family val="0"/>
        <charset val="1"/>
      </rPr>
      <t xml:space="preserve">UI/UX </t>
    </r>
    <r>
      <rPr>
        <sz val="9"/>
        <color rgb="FF000000"/>
        <rFont val="Noto Sans CJK SC"/>
        <family val="2"/>
      </rPr>
      <t xml:space="preserve">디자인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주요 화면</t>
    </r>
    <r>
      <rPr>
        <sz val="9"/>
        <color rgb="FF000000"/>
        <rFont val="맑은 고딕"/>
        <family val="0"/>
        <charset val="1"/>
      </rPr>
      <t xml:space="preserve">)</t>
    </r>
  </si>
  <si>
    <t xml:space="preserve">기반</t>
  </si>
  <si>
    <r>
      <rPr>
        <sz val="9"/>
        <color rgb="FF000000"/>
        <rFont val="Noto Sans CJK SC"/>
        <family val="2"/>
      </rPr>
      <t xml:space="preserve">회원가입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로그인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대학생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기업 구분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개인정보 동의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</si>
  <si>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기업 목록 페이지 </t>
    </r>
    <r>
      <rPr>
        <sz val="9"/>
        <color rgb="FF000000"/>
        <rFont val="맑은 고딕"/>
        <family val="0"/>
        <charset val="1"/>
      </rPr>
      <t xml:space="preserve">(50</t>
    </r>
    <r>
      <rPr>
        <sz val="9"/>
        <color rgb="FF000000"/>
        <rFont val="Noto Sans CJK SC"/>
        <family val="2"/>
      </rPr>
      <t xml:space="preserve">개사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카드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그리드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</si>
  <si>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기업 상세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채용정보 페이지</t>
    </r>
  </si>
  <si>
    <t xml:space="preserve">핵심흐름</t>
  </si>
  <si>
    <r>
      <rPr>
        <sz val="9"/>
        <color rgb="FF000000"/>
        <rFont val="Noto Sans CJK SC"/>
        <family val="2"/>
      </rPr>
      <t xml:space="preserve">입사지원서 제출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이력서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자소서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포폴 첨부</t>
    </r>
    <r>
      <rPr>
        <sz val="9"/>
        <color rgb="FF000000"/>
        <rFont val="맑은 고딕"/>
        <family val="0"/>
        <charset val="1"/>
      </rPr>
      <t xml:space="preserve">)</t>
    </r>
  </si>
  <si>
    <t xml:space="preserve">기업용 지원서 검토 페이지</t>
  </si>
  <si>
    <r>
      <rPr>
        <sz val="9"/>
        <color rgb="FF000000"/>
        <rFont val="Noto Sans CJK SC"/>
        <family val="2"/>
      </rPr>
      <t xml:space="preserve">면접 확정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미확정 상태 관리</t>
    </r>
  </si>
  <si>
    <r>
      <rPr>
        <sz val="9"/>
        <color rgb="FF000000"/>
        <rFont val="Noto Sans CJK SC"/>
        <family val="2"/>
      </rPr>
      <t xml:space="preserve">지원자 마이페이지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지원현황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결과</t>
    </r>
    <r>
      <rPr>
        <sz val="9"/>
        <color rgb="FF000000"/>
        <rFont val="맑은 고딕"/>
        <family val="0"/>
        <charset val="1"/>
      </rPr>
      <t xml:space="preserve">)</t>
    </r>
  </si>
  <si>
    <t xml:space="preserve">매칭</t>
  </si>
  <si>
    <r>
      <rPr>
        <sz val="9"/>
        <color rgb="FF000000"/>
        <rFont val="Noto Sans CJK SC"/>
        <family val="2"/>
      </rPr>
      <t xml:space="preserve">매칭 엔진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방식별 상이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</si>
  <si>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운영</t>
  </si>
  <si>
    <r>
      <rPr>
        <sz val="9"/>
        <color rgb="FF000000"/>
        <rFont val="Noto Sans CJK SC"/>
        <family val="2"/>
      </rPr>
      <t xml:space="preserve">관리자 </t>
    </r>
    <r>
      <rPr>
        <sz val="9"/>
        <color rgb="FF000000"/>
        <rFont val="맑은 고딕"/>
        <family val="0"/>
        <charset val="1"/>
      </rPr>
      <t xml:space="preserve">DB </t>
    </r>
    <r>
      <rPr>
        <sz val="9"/>
        <color rgb="FF000000"/>
        <rFont val="Noto Sans CJK SC"/>
        <family val="2"/>
      </rPr>
      <t xml:space="preserve">대시보드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회원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지원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매칭 현황</t>
    </r>
    <r>
      <rPr>
        <sz val="9"/>
        <color rgb="FF000000"/>
        <rFont val="맑은 고딕"/>
        <family val="0"/>
        <charset val="1"/>
      </rPr>
      <t xml:space="preserve">)</t>
    </r>
  </si>
  <si>
    <t xml:space="preserve">부가</t>
  </si>
  <si>
    <r>
      <rPr>
        <sz val="9"/>
        <color rgb="FF000000"/>
        <rFont val="Noto Sans CJK SC"/>
        <family val="2"/>
      </rPr>
      <t xml:space="preserve">문자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카카오 알림톡 연동</t>
    </r>
  </si>
  <si>
    <r>
      <rPr>
        <sz val="9"/>
        <color rgb="FF000000"/>
        <rFont val="Noto Sans CJK SC"/>
        <family val="2"/>
      </rPr>
      <t xml:space="preserve">화상면접 솔루션 연동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외부 </t>
    </r>
    <r>
      <rPr>
        <sz val="9"/>
        <color rgb="FF000000"/>
        <rFont val="맑은 고딕"/>
        <family val="0"/>
        <charset val="1"/>
      </rPr>
      <t xml:space="preserve">API)</t>
    </r>
  </si>
  <si>
    <r>
      <rPr>
        <sz val="9"/>
        <color rgb="FF000000"/>
        <rFont val="Noto Sans CJK SC"/>
        <family val="2"/>
      </rPr>
      <t xml:space="preserve">결제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정산 </t>
    </r>
    <r>
      <rPr>
        <sz val="9"/>
        <color rgb="FF000000"/>
        <rFont val="맑은 고딕"/>
        <family val="0"/>
        <charset val="1"/>
      </rPr>
      <t xml:space="preserve">(PG </t>
    </r>
    <r>
      <rPr>
        <sz val="9"/>
        <color rgb="FF000000"/>
        <rFont val="Noto Sans CJK SC"/>
        <family val="2"/>
      </rPr>
      <t xml:space="preserve">연동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정산 로직</t>
    </r>
    <r>
      <rPr>
        <sz val="9"/>
        <color rgb="FF000000"/>
        <rFont val="맑은 고딕"/>
        <family val="0"/>
        <charset val="1"/>
      </rPr>
      <t xml:space="preserve">)</t>
    </r>
  </si>
  <si>
    <t xml:space="preserve">개발</t>
  </si>
  <si>
    <r>
      <rPr>
        <sz val="9"/>
        <color rgb="FF000000"/>
        <rFont val="Noto Sans CJK SC"/>
        <family val="2"/>
      </rPr>
      <t xml:space="preserve">프론트엔드 퍼블리싱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구현</t>
    </r>
  </si>
  <si>
    <r>
      <rPr>
        <sz val="9"/>
        <color rgb="FF000000"/>
        <rFont val="Noto Sans CJK SC"/>
        <family val="2"/>
      </rPr>
      <t xml:space="preserve">백엔드 개발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서버</t>
    </r>
    <r>
      <rPr>
        <sz val="9"/>
        <color rgb="FF000000"/>
        <rFont val="맑은 고딕"/>
        <family val="0"/>
        <charset val="1"/>
      </rPr>
      <t xml:space="preserve">/API)</t>
    </r>
  </si>
  <si>
    <t xml:space="preserve">QA</t>
  </si>
  <si>
    <r>
      <rPr>
        <sz val="9"/>
        <color rgb="FF000000"/>
        <rFont val="Noto Sans CJK SC"/>
        <family val="2"/>
      </rPr>
      <t xml:space="preserve">통합 테스트 </t>
    </r>
    <r>
      <rPr>
        <sz val="9"/>
        <color rgb="FF000000"/>
        <rFont val="맑은 고딕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버그 수정</t>
    </r>
  </si>
  <si>
    <t xml:space="preserve">배포</t>
  </si>
  <si>
    <r>
      <rPr>
        <sz val="9"/>
        <color rgb="FF000000"/>
        <rFont val="Noto Sans CJK SC"/>
        <family val="2"/>
      </rPr>
      <t xml:space="preserve">서버 셋업 </t>
    </r>
    <r>
      <rPr>
        <sz val="9"/>
        <color rgb="FF000000"/>
        <rFont val="맑은 고딕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배포 </t>
    </r>
    <r>
      <rPr>
        <sz val="9"/>
        <color rgb="FF000000"/>
        <rFont val="맑은 고딕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인수인계</t>
    </r>
  </si>
  <si>
    <t xml:space="preserve">개발 소계</t>
  </si>
  <si>
    <r>
      <rPr>
        <sz val="9"/>
        <color rgb="FF000000"/>
        <rFont val="맑은 고딕"/>
        <family val="0"/>
        <charset val="1"/>
      </rPr>
      <t xml:space="preserve">PM·</t>
    </r>
    <r>
      <rPr>
        <sz val="9"/>
        <color rgb="FF000000"/>
        <rFont val="Noto Sans CJK SC"/>
        <family val="2"/>
      </rPr>
      <t xml:space="preserve">프로젝트 관리 </t>
    </r>
    <r>
      <rPr>
        <sz val="9"/>
        <color rgb="FF000000"/>
        <rFont val="맑은 고딕"/>
        <family val="0"/>
        <charset val="1"/>
      </rPr>
      <t xml:space="preserve">(15%)</t>
    </r>
  </si>
  <si>
    <t xml:space="preserve">공급가액 합계</t>
  </si>
  <si>
    <t xml:space="preserve">VAT (10%)</t>
  </si>
  <si>
    <r>
      <rPr>
        <b val="true"/>
        <sz val="12"/>
        <color rgb="FFFFFFFF"/>
        <rFont val="Noto Sans CJK SC"/>
        <family val="2"/>
      </rPr>
      <t xml:space="preserve">총 합계 </t>
    </r>
    <r>
      <rPr>
        <b val="true"/>
        <sz val="12"/>
        <color rgb="FFFFFFFF"/>
        <rFont val="맑은 고딕"/>
        <family val="0"/>
        <charset val="1"/>
      </rPr>
      <t xml:space="preserve">(VAT </t>
    </r>
    <r>
      <rPr>
        <b val="true"/>
        <sz val="12"/>
        <color rgb="FFFFFFFF"/>
        <rFont val="Noto Sans CJK SC"/>
        <family val="2"/>
      </rPr>
      <t xml:space="preserve">포함</t>
    </r>
    <r>
      <rPr>
        <b val="true"/>
        <sz val="12"/>
        <color rgb="FFFFFFFF"/>
        <rFont val="맑은 고딕"/>
        <family val="0"/>
        <charset val="1"/>
      </rPr>
      <t xml:space="preserve">)</t>
    </r>
  </si>
  <si>
    <r>
      <rPr>
        <b val="true"/>
        <sz val="16"/>
        <color rgb="FFE8345A"/>
        <rFont val="맑은 고딕"/>
        <family val="0"/>
        <charset val="1"/>
      </rPr>
      <t xml:space="preserve">2</t>
    </r>
    <r>
      <rPr>
        <b val="true"/>
        <sz val="16"/>
        <color rgb="FFE8345A"/>
        <rFont val="Noto Sans CJK SC"/>
        <family val="2"/>
      </rPr>
      <t xml:space="preserve">안</t>
    </r>
    <r>
      <rPr>
        <b val="true"/>
        <sz val="16"/>
        <color rgb="FFE8345A"/>
        <rFont val="맑은 고딕"/>
        <family val="0"/>
        <charset val="1"/>
      </rPr>
      <t xml:space="preserve">. </t>
    </r>
    <r>
      <rPr>
        <b val="true"/>
        <sz val="16"/>
        <color rgb="FFE8345A"/>
        <rFont val="Noto Sans CJK SC"/>
        <family val="2"/>
      </rPr>
      <t xml:space="preserve">조건필터 추천 매칭 — 상세 견적</t>
    </r>
  </si>
  <si>
    <r>
      <rPr>
        <b val="true"/>
        <sz val="16"/>
        <color rgb="FFE8345A"/>
        <rFont val="맑은 고딕"/>
        <family val="0"/>
        <charset val="1"/>
      </rPr>
      <t xml:space="preserve">3</t>
    </r>
    <r>
      <rPr>
        <b val="true"/>
        <sz val="16"/>
        <color rgb="FFE8345A"/>
        <rFont val="Noto Sans CJK SC"/>
        <family val="2"/>
      </rPr>
      <t xml:space="preserve">안</t>
    </r>
    <r>
      <rPr>
        <b val="true"/>
        <sz val="16"/>
        <color rgb="FFE8345A"/>
        <rFont val="맑은 고딕"/>
        <family val="0"/>
        <charset val="1"/>
      </rPr>
      <t xml:space="preserve">. AI </t>
    </r>
    <r>
      <rPr>
        <b val="true"/>
        <sz val="16"/>
        <color rgb="FFE8345A"/>
        <rFont val="Noto Sans CJK SC"/>
        <family val="2"/>
      </rPr>
      <t xml:space="preserve">자동매칭 — 상세 견적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</si>
</sst>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\원"/>
    <numFmt numFmtId="166" formatCode="#,##0"/>
    <numFmt numFmtId="167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E8345A"/>
      <name val="Noto Sans CJK SC"/>
      <family val="2"/>
    </font>
    <font>
      <sz val="11"/>
      <color rgb="FF333333"/>
      <name val="Noto Sans CJK SC"/>
      <family val="2"/>
    </font>
    <font>
      <sz val="11"/>
      <color rgb="FF333333"/>
      <name val="맑은 고딕"/>
      <family val="0"/>
      <charset val="1"/>
    </font>
    <font>
      <b val="true"/>
      <sz val="10"/>
      <color rgb="FF333333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맑은 고딕"/>
      <family val="0"/>
      <charset val="1"/>
    </font>
    <font>
      <b val="true"/>
      <sz val="13"/>
      <color rgb="FFE8345A"/>
      <name val="Noto Sans CJK SC"/>
      <family val="2"/>
    </font>
    <font>
      <b val="true"/>
      <sz val="13"/>
      <color rgb="FFE8345A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b val="true"/>
      <sz val="11"/>
      <color rgb="FFE8345A"/>
      <name val="맑은 고딕"/>
      <family val="0"/>
      <charset val="1"/>
    </font>
    <font>
      <b val="true"/>
      <sz val="10"/>
      <color rgb="FF333333"/>
      <name val="맑은 고딕"/>
      <family val="0"/>
      <charset val="1"/>
    </font>
    <font>
      <b val="true"/>
      <sz val="11"/>
      <color rgb="FF000000"/>
      <name val="맑은 고딕"/>
      <family val="0"/>
      <charset val="1"/>
    </font>
    <font>
      <sz val="9"/>
      <color rgb="FF888888"/>
      <name val="Noto Sans CJK SC"/>
      <family val="2"/>
    </font>
    <font>
      <sz val="9"/>
      <color rgb="FF888888"/>
      <name val="맑은 고딕"/>
      <family val="0"/>
      <charset val="1"/>
    </font>
    <font>
      <b val="true"/>
      <sz val="16"/>
      <color rgb="FFE8345A"/>
      <name val="맑은 고딕"/>
      <family val="0"/>
      <charset val="1"/>
    </font>
    <font>
      <b val="true"/>
      <sz val="16"/>
      <color rgb="FFE8345A"/>
      <name val="Noto Sans CJK SC"/>
      <family val="2"/>
    </font>
    <font>
      <sz val="9"/>
      <color rgb="FF000000"/>
      <name val="Noto Sans CJK SC"/>
      <family val="2"/>
    </font>
    <font>
      <sz val="9"/>
      <color rgb="FF000000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b val="true"/>
      <sz val="11"/>
      <color rgb="FFE8345A"/>
      <name val="Noto Sans CJK SC"/>
      <family val="2"/>
    </font>
    <font>
      <b val="true"/>
      <sz val="12"/>
      <color rgb="FFFFFFFF"/>
      <name val="Noto Sans CJK SC"/>
      <family val="2"/>
    </font>
    <font>
      <b val="true"/>
      <sz val="12"/>
      <color rgb="FFFFFFFF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CE4EA"/>
      </patternFill>
    </fill>
    <fill>
      <patternFill patternType="solid">
        <fgColor rgb="FFE8345A"/>
        <bgColor rgb="FF993366"/>
      </patternFill>
    </fill>
    <fill>
      <patternFill patternType="solid">
        <fgColor rgb="FFFCE4E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E8345A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6"/>
    <col collapsed="false" customWidth="true" hidden="false" outlineLevel="0" max="6" min="6" style="0" width="12"/>
  </cols>
  <sheetData>
    <row r="2" customFormat="false" ht="30.55" hidden="false" customHeight="true" outlineLevel="0" collapsed="false">
      <c r="B2" s="1" t="s">
        <v>0</v>
      </c>
      <c r="C2" s="1"/>
      <c r="D2" s="1"/>
      <c r="E2" s="1"/>
      <c r="F2" s="1"/>
    </row>
    <row r="3" customFormat="false" ht="17.15" hidden="false" customHeight="true" outlineLevel="0" collapsed="false">
      <c r="B3" s="2" t="s">
        <v>1</v>
      </c>
      <c r="C3" s="2"/>
      <c r="D3" s="2"/>
      <c r="E3" s="2"/>
      <c r="F3" s="2"/>
    </row>
    <row r="5" customFormat="false" ht="15" hidden="false" customHeight="true" outlineLevel="0" collapsed="false">
      <c r="B5" s="3" t="s">
        <v>2</v>
      </c>
      <c r="C5" s="4" t="s">
        <v>3</v>
      </c>
      <c r="D5" s="4"/>
      <c r="E5" s="4"/>
      <c r="F5" s="4"/>
    </row>
    <row r="6" customFormat="false" ht="15" hidden="false" customHeight="true" outlineLevel="0" collapsed="false">
      <c r="B6" s="3" t="s">
        <v>4</v>
      </c>
      <c r="C6" s="4" t="s">
        <v>5</v>
      </c>
      <c r="D6" s="4"/>
      <c r="E6" s="4"/>
      <c r="F6" s="4"/>
    </row>
    <row r="7" customFormat="false" ht="15" hidden="false" customHeight="true" outlineLevel="0" collapsed="false">
      <c r="B7" s="3" t="s">
        <v>6</v>
      </c>
      <c r="C7" s="4" t="s">
        <v>7</v>
      </c>
      <c r="D7" s="4"/>
      <c r="E7" s="4"/>
      <c r="F7" s="4"/>
    </row>
    <row r="8" customFormat="false" ht="15" hidden="false" customHeight="true" outlineLevel="0" collapsed="false">
      <c r="B8" s="3" t="s">
        <v>8</v>
      </c>
      <c r="C8" s="4" t="s">
        <v>9</v>
      </c>
      <c r="D8" s="4"/>
      <c r="E8" s="4"/>
      <c r="F8" s="4"/>
    </row>
    <row r="9" customFormat="false" ht="15" hidden="false" customHeight="true" outlineLevel="0" collapsed="false">
      <c r="B9" s="3" t="s">
        <v>10</v>
      </c>
      <c r="C9" s="5" t="s">
        <v>11</v>
      </c>
      <c r="D9" s="5"/>
      <c r="E9" s="5"/>
      <c r="F9" s="5"/>
    </row>
    <row r="10" customFormat="false" ht="15" hidden="false" customHeight="true" outlineLevel="0" collapsed="false">
      <c r="B10" s="3" t="s">
        <v>12</v>
      </c>
      <c r="C10" s="4" t="s">
        <v>13</v>
      </c>
      <c r="D10" s="4"/>
      <c r="E10" s="4"/>
      <c r="F10" s="4"/>
    </row>
    <row r="11" customFormat="false" ht="15" hidden="false" customHeight="true" outlineLevel="0" collapsed="false">
      <c r="B11" s="3" t="s">
        <v>14</v>
      </c>
      <c r="C11" s="5" t="s">
        <v>15</v>
      </c>
      <c r="D11" s="5"/>
      <c r="E11" s="5"/>
      <c r="F11" s="5"/>
    </row>
    <row r="13" customFormat="false" ht="20.1" hidden="false" customHeight="true" outlineLevel="0" collapsed="false">
      <c r="B13" s="6" t="s">
        <v>16</v>
      </c>
      <c r="C13" s="6"/>
      <c r="D13" s="6"/>
      <c r="E13" s="6"/>
      <c r="F13" s="6"/>
    </row>
    <row r="15" customFormat="false" ht="15" hidden="false" customHeight="false" outlineLevel="0" collapsed="false">
      <c r="B15" s="7" t="s">
        <v>17</v>
      </c>
      <c r="C15" s="8" t="s">
        <v>18</v>
      </c>
      <c r="D15" s="8" t="s">
        <v>19</v>
      </c>
      <c r="E15" s="8" t="s">
        <v>20</v>
      </c>
    </row>
    <row r="16" customFormat="false" ht="44" hidden="false" customHeight="false" outlineLevel="0" collapsed="false">
      <c r="B16" s="9" t="s">
        <v>21</v>
      </c>
      <c r="C16" s="10" t="s">
        <v>22</v>
      </c>
      <c r="D16" s="10" t="s">
        <v>23</v>
      </c>
      <c r="E16" s="10" t="s">
        <v>24</v>
      </c>
    </row>
    <row r="17" customFormat="false" ht="15" hidden="false" customHeight="false" outlineLevel="0" collapsed="false">
      <c r="B17" s="9" t="s">
        <v>25</v>
      </c>
      <c r="C17" s="10" t="s">
        <v>26</v>
      </c>
      <c r="D17" s="10" t="s">
        <v>27</v>
      </c>
      <c r="E17" s="10" t="s">
        <v>28</v>
      </c>
    </row>
    <row r="18" customFormat="false" ht="29.85" hidden="false" customHeight="false" outlineLevel="0" collapsed="false">
      <c r="B18" s="9" t="s">
        <v>29</v>
      </c>
      <c r="C18" s="10" t="s">
        <v>30</v>
      </c>
      <c r="D18" s="10" t="s">
        <v>31</v>
      </c>
      <c r="E18" s="10" t="s">
        <v>32</v>
      </c>
    </row>
    <row r="19" customFormat="false" ht="15" hidden="false" customHeight="false" outlineLevel="0" collapsed="false">
      <c r="B19" s="9" t="s">
        <v>10</v>
      </c>
      <c r="C19" s="10" t="s">
        <v>33</v>
      </c>
      <c r="D19" s="10" t="s">
        <v>34</v>
      </c>
      <c r="E19" s="10" t="s">
        <v>35</v>
      </c>
    </row>
    <row r="20" customFormat="false" ht="17.15" hidden="false" customHeight="false" outlineLevel="0" collapsed="false">
      <c r="B20" s="11" t="s">
        <v>36</v>
      </c>
      <c r="C20" s="12" t="n">
        <f aca="false">1안_수동!E100</f>
        <v>38640000</v>
      </c>
      <c r="D20" s="12" t="n">
        <f aca="false">2안_필터!E100</f>
        <v>44275000</v>
      </c>
      <c r="E20" s="12" t="n">
        <f aca="false">3안_AI!E100</f>
        <v>53130000</v>
      </c>
    </row>
    <row r="21" customFormat="false" ht="17.15" hidden="false" customHeight="false" outlineLevel="0" collapsed="false">
      <c r="B21" s="13" t="s">
        <v>37</v>
      </c>
      <c r="C21" s="14" t="n">
        <f aca="false">C20*1.1</f>
        <v>42504000</v>
      </c>
      <c r="D21" s="14" t="n">
        <f aca="false">D20*1.1</f>
        <v>48702500</v>
      </c>
      <c r="E21" s="14" t="n">
        <f aca="false">E20*1.1</f>
        <v>58443000</v>
      </c>
    </row>
    <row r="23" customFormat="false" ht="31.5" hidden="false" customHeight="true" outlineLevel="0" collapsed="false">
      <c r="B23" s="15" t="s">
        <v>38</v>
      </c>
      <c r="C23" s="15"/>
      <c r="D23" s="15"/>
      <c r="E23" s="15"/>
      <c r="F23" s="15"/>
    </row>
  </sheetData>
  <mergeCells count="11">
    <mergeCell ref="B2:F2"/>
    <mergeCell ref="B3:F3"/>
    <mergeCell ref="C5:F5"/>
    <mergeCell ref="C6:F6"/>
    <mergeCell ref="C7:F7"/>
    <mergeCell ref="C8:F8"/>
    <mergeCell ref="C9:F9"/>
    <mergeCell ref="C10:F10"/>
    <mergeCell ref="C11:F11"/>
    <mergeCell ref="B13:F13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6" min="5" style="0" width="16"/>
  </cols>
  <sheetData>
    <row r="2" customFormat="false" ht="23.85" hidden="false" customHeight="true" outlineLevel="0" collapsed="false">
      <c r="B2" s="16" t="s">
        <v>39</v>
      </c>
      <c r="C2" s="16"/>
      <c r="D2" s="16"/>
      <c r="E2" s="16"/>
      <c r="F2" s="16"/>
    </row>
    <row r="3" customFormat="false" ht="15" hidden="false" customHeight="true" outlineLevel="0" collapsed="false">
      <c r="B3" s="17" t="s">
        <v>40</v>
      </c>
      <c r="C3" s="17"/>
      <c r="D3" s="17"/>
      <c r="E3" s="17"/>
      <c r="F3" s="17"/>
    </row>
    <row r="5" customFormat="false" ht="15" hidden="false" customHeight="false" outlineLevel="0" collapsed="false">
      <c r="B5" s="7" t="s">
        <v>41</v>
      </c>
      <c r="C5" s="7" t="s">
        <v>42</v>
      </c>
      <c r="D5" s="7" t="s">
        <v>43</v>
      </c>
      <c r="E5" s="7" t="s">
        <v>44</v>
      </c>
      <c r="F5" s="7" t="s">
        <v>45</v>
      </c>
    </row>
    <row r="6" customFormat="false" ht="15" hidden="false" customHeight="false" outlineLevel="0" collapsed="false">
      <c r="B6" s="18" t="s">
        <v>46</v>
      </c>
      <c r="C6" s="19" t="s">
        <v>47</v>
      </c>
      <c r="D6" s="18" t="n">
        <v>6</v>
      </c>
      <c r="E6" s="20" t="n">
        <v>350000</v>
      </c>
      <c r="F6" s="20" t="n">
        <f aca="false">D6*E6</f>
        <v>2100000</v>
      </c>
    </row>
    <row r="7" customFormat="false" ht="15" hidden="false" customHeight="false" outlineLevel="0" collapsed="false">
      <c r="B7" s="18" t="s">
        <v>46</v>
      </c>
      <c r="C7" s="21" t="s">
        <v>48</v>
      </c>
      <c r="D7" s="18" t="n">
        <v>4</v>
      </c>
      <c r="E7" s="20" t="n">
        <v>350000</v>
      </c>
      <c r="F7" s="20" t="n">
        <f aca="false">D7*E7</f>
        <v>1400000</v>
      </c>
    </row>
    <row r="8" customFormat="false" ht="15" hidden="false" customHeight="false" outlineLevel="0" collapsed="false">
      <c r="B8" s="18" t="s">
        <v>46</v>
      </c>
      <c r="C8" s="21" t="s">
        <v>49</v>
      </c>
      <c r="D8" s="18" t="n">
        <v>7</v>
      </c>
      <c r="E8" s="20" t="n">
        <v>350000</v>
      </c>
      <c r="F8" s="20" t="n">
        <f aca="false">D8*E8</f>
        <v>2450000</v>
      </c>
    </row>
    <row r="9" customFormat="false" ht="15" hidden="false" customHeight="false" outlineLevel="0" collapsed="false">
      <c r="B9" s="18" t="s">
        <v>50</v>
      </c>
      <c r="C9" s="19" t="s">
        <v>51</v>
      </c>
      <c r="D9" s="18" t="n">
        <v>5</v>
      </c>
      <c r="E9" s="20" t="n">
        <v>350000</v>
      </c>
      <c r="F9" s="20" t="n">
        <f aca="false">D9*E9</f>
        <v>1750000</v>
      </c>
    </row>
    <row r="10" customFormat="false" ht="15" hidden="false" customHeight="false" outlineLevel="0" collapsed="false">
      <c r="B10" s="18" t="s">
        <v>50</v>
      </c>
      <c r="C10" s="19" t="s">
        <v>52</v>
      </c>
      <c r="D10" s="18" t="n">
        <v>3</v>
      </c>
      <c r="E10" s="20" t="n">
        <v>350000</v>
      </c>
      <c r="F10" s="20" t="n">
        <f aca="false">D10*E10</f>
        <v>1050000</v>
      </c>
    </row>
    <row r="11" customFormat="false" ht="15" hidden="false" customHeight="false" outlineLevel="0" collapsed="false">
      <c r="B11" s="18" t="s">
        <v>50</v>
      </c>
      <c r="C11" s="19" t="s">
        <v>53</v>
      </c>
      <c r="D11" s="18" t="n">
        <v>4</v>
      </c>
      <c r="E11" s="20" t="n">
        <v>350000</v>
      </c>
      <c r="F11" s="20" t="n">
        <f aca="false">D11*E11</f>
        <v>1400000</v>
      </c>
    </row>
    <row r="12" customFormat="false" ht="15" hidden="false" customHeight="false" outlineLevel="0" collapsed="false">
      <c r="B12" s="18" t="s">
        <v>54</v>
      </c>
      <c r="C12" s="19" t="s">
        <v>55</v>
      </c>
      <c r="D12" s="18" t="n">
        <v>5</v>
      </c>
      <c r="E12" s="20" t="n">
        <v>350000</v>
      </c>
      <c r="F12" s="20" t="n">
        <f aca="false">D12*E12</f>
        <v>1750000</v>
      </c>
    </row>
    <row r="13" customFormat="false" ht="15" hidden="false" customHeight="false" outlineLevel="0" collapsed="false">
      <c r="B13" s="18" t="s">
        <v>54</v>
      </c>
      <c r="C13" s="19" t="s">
        <v>56</v>
      </c>
      <c r="D13" s="18" t="n">
        <v>4</v>
      </c>
      <c r="E13" s="20" t="n">
        <v>350000</v>
      </c>
      <c r="F13" s="20" t="n">
        <f aca="false">D13*E13</f>
        <v>1400000</v>
      </c>
    </row>
    <row r="14" customFormat="false" ht="15" hidden="false" customHeight="false" outlineLevel="0" collapsed="false">
      <c r="B14" s="18" t="s">
        <v>54</v>
      </c>
      <c r="C14" s="19" t="s">
        <v>57</v>
      </c>
      <c r="D14" s="18" t="n">
        <v>3</v>
      </c>
      <c r="E14" s="20" t="n">
        <v>350000</v>
      </c>
      <c r="F14" s="20" t="n">
        <f aca="false">D14*E14</f>
        <v>1050000</v>
      </c>
    </row>
    <row r="15" customFormat="false" ht="15" hidden="false" customHeight="false" outlineLevel="0" collapsed="false">
      <c r="B15" s="18" t="s">
        <v>54</v>
      </c>
      <c r="C15" s="19" t="s">
        <v>58</v>
      </c>
      <c r="D15" s="18" t="n">
        <v>3</v>
      </c>
      <c r="E15" s="20" t="n">
        <v>350000</v>
      </c>
      <c r="F15" s="20" t="n">
        <f aca="false">D15*E15</f>
        <v>1050000</v>
      </c>
    </row>
    <row r="16" customFormat="false" ht="15" hidden="false" customHeight="false" outlineLevel="0" collapsed="false">
      <c r="B16" s="18" t="s">
        <v>59</v>
      </c>
      <c r="C16" s="19" t="s">
        <v>60</v>
      </c>
      <c r="D16" s="18" t="n">
        <v>4</v>
      </c>
      <c r="E16" s="20" t="n">
        <v>350000</v>
      </c>
      <c r="F16" s="20" t="n">
        <f aca="false">D16*E16</f>
        <v>1400000</v>
      </c>
    </row>
    <row r="17" customFormat="false" ht="15" hidden="false" customHeight="false" outlineLevel="0" collapsed="false">
      <c r="B17" s="18" t="s">
        <v>61</v>
      </c>
      <c r="C17" s="19" t="s">
        <v>62</v>
      </c>
      <c r="D17" s="18" t="n">
        <v>6</v>
      </c>
      <c r="E17" s="20" t="n">
        <v>350000</v>
      </c>
      <c r="F17" s="20" t="n">
        <f aca="false">D17*E17</f>
        <v>2100000</v>
      </c>
    </row>
    <row r="18" customFormat="false" ht="15" hidden="false" customHeight="false" outlineLevel="0" collapsed="false">
      <c r="B18" s="18" t="s">
        <v>63</v>
      </c>
      <c r="C18" s="19" t="s">
        <v>64</v>
      </c>
      <c r="D18" s="18" t="n">
        <v>4</v>
      </c>
      <c r="E18" s="20" t="n">
        <v>350000</v>
      </c>
      <c r="F18" s="20" t="n">
        <f aca="false">D18*E18</f>
        <v>1400000</v>
      </c>
    </row>
    <row r="19" customFormat="false" ht="15" hidden="false" customHeight="false" outlineLevel="0" collapsed="false">
      <c r="B19" s="18" t="s">
        <v>63</v>
      </c>
      <c r="C19" s="19" t="s">
        <v>65</v>
      </c>
      <c r="D19" s="18" t="n">
        <v>5</v>
      </c>
      <c r="E19" s="20" t="n">
        <v>350000</v>
      </c>
      <c r="F19" s="20" t="n">
        <f aca="false">D19*E19</f>
        <v>1750000</v>
      </c>
    </row>
    <row r="20" customFormat="false" ht="15" hidden="false" customHeight="false" outlineLevel="0" collapsed="false">
      <c r="B20" s="18" t="s">
        <v>63</v>
      </c>
      <c r="C20" s="19" t="s">
        <v>66</v>
      </c>
      <c r="D20" s="18" t="n">
        <v>7</v>
      </c>
      <c r="E20" s="20" t="n">
        <v>350000</v>
      </c>
      <c r="F20" s="20" t="n">
        <f aca="false">D20*E20</f>
        <v>2450000</v>
      </c>
    </row>
    <row r="21" customFormat="false" ht="15" hidden="false" customHeight="false" outlineLevel="0" collapsed="false">
      <c r="B21" s="18" t="s">
        <v>67</v>
      </c>
      <c r="C21" s="19" t="s">
        <v>68</v>
      </c>
      <c r="D21" s="18" t="n">
        <v>9</v>
      </c>
      <c r="E21" s="20" t="n">
        <v>350000</v>
      </c>
      <c r="F21" s="20" t="n">
        <f aca="false">D21*E21</f>
        <v>3150000</v>
      </c>
    </row>
    <row r="22" customFormat="false" ht="15" hidden="false" customHeight="false" outlineLevel="0" collapsed="false">
      <c r="B22" s="18" t="s">
        <v>67</v>
      </c>
      <c r="C22" s="19" t="s">
        <v>69</v>
      </c>
      <c r="D22" s="18" t="n">
        <v>9</v>
      </c>
      <c r="E22" s="20" t="n">
        <v>350000</v>
      </c>
      <c r="F22" s="20" t="n">
        <f aca="false">D22*E22</f>
        <v>3150000</v>
      </c>
    </row>
    <row r="23" customFormat="false" ht="15" hidden="false" customHeight="false" outlineLevel="0" collapsed="false">
      <c r="B23" s="22" t="s">
        <v>70</v>
      </c>
      <c r="C23" s="19" t="s">
        <v>71</v>
      </c>
      <c r="D23" s="18" t="n">
        <v>5</v>
      </c>
      <c r="E23" s="20" t="n">
        <v>350000</v>
      </c>
      <c r="F23" s="20" t="n">
        <f aca="false">D23*E23</f>
        <v>1750000</v>
      </c>
    </row>
    <row r="24" customFormat="false" ht="15" hidden="false" customHeight="false" outlineLevel="0" collapsed="false">
      <c r="B24" s="18" t="s">
        <v>72</v>
      </c>
      <c r="C24" s="19" t="s">
        <v>73</v>
      </c>
      <c r="D24" s="18" t="n">
        <v>3</v>
      </c>
      <c r="E24" s="20" t="n">
        <v>350000</v>
      </c>
      <c r="F24" s="20" t="n">
        <f aca="false">D24*E24</f>
        <v>1050000</v>
      </c>
    </row>
    <row r="25" customFormat="false" ht="15" hidden="false" customHeight="false" outlineLevel="0" collapsed="false">
      <c r="B25" s="23"/>
      <c r="C25" s="24" t="s">
        <v>74</v>
      </c>
      <c r="D25" s="25" t="n">
        <f aca="false">SUM(D6:D24)</f>
        <v>96</v>
      </c>
      <c r="E25" s="23"/>
      <c r="F25" s="26" t="n">
        <f aca="false">SUM(F6:F24)</f>
        <v>33600000</v>
      </c>
    </row>
    <row r="26" customFormat="false" ht="15" hidden="false" customHeight="false" outlineLevel="0" collapsed="false">
      <c r="B26" s="27"/>
      <c r="C26" s="28" t="s">
        <v>75</v>
      </c>
      <c r="D26" s="27"/>
      <c r="E26" s="27"/>
      <c r="F26" s="20" t="n">
        <f aca="false">F25*0.15</f>
        <v>5040000</v>
      </c>
    </row>
    <row r="27" customFormat="false" ht="15" hidden="false" customHeight="false" outlineLevel="0" collapsed="false">
      <c r="B27" s="29"/>
      <c r="C27" s="30" t="s">
        <v>76</v>
      </c>
      <c r="D27" s="29"/>
      <c r="E27" s="29"/>
      <c r="F27" s="31" t="n">
        <f aca="false">F25+F26</f>
        <v>38640000</v>
      </c>
    </row>
    <row r="28" customFormat="false" ht="15" hidden="false" customHeight="false" outlineLevel="0" collapsed="false">
      <c r="B28" s="27"/>
      <c r="C28" s="28" t="s">
        <v>77</v>
      </c>
      <c r="D28" s="27"/>
      <c r="E28" s="27"/>
      <c r="F28" s="20" t="n">
        <f aca="false">F27*0.1</f>
        <v>3864000</v>
      </c>
    </row>
    <row r="29" customFormat="false" ht="19.4" hidden="false" customHeight="false" outlineLevel="0" collapsed="false">
      <c r="B29" s="32"/>
      <c r="C29" s="33" t="s">
        <v>78</v>
      </c>
      <c r="D29" s="32"/>
      <c r="E29" s="32"/>
      <c r="F29" s="34" t="n">
        <f aca="false">F27+F28</f>
        <v>42504000</v>
      </c>
    </row>
    <row r="100" customFormat="false" ht="15" hidden="false" customHeight="false" outlineLevel="0" collapsed="false">
      <c r="E100" s="35" t="n">
        <f aca="false">F27</f>
        <v>38640000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6" min="5" style="0" width="16"/>
  </cols>
  <sheetData>
    <row r="2" customFormat="false" ht="23.85" hidden="false" customHeight="true" outlineLevel="0" collapsed="false">
      <c r="B2" s="16" t="s">
        <v>79</v>
      </c>
      <c r="C2" s="16"/>
      <c r="D2" s="16"/>
      <c r="E2" s="16"/>
      <c r="F2" s="16"/>
    </row>
    <row r="3" customFormat="false" ht="15" hidden="false" customHeight="true" outlineLevel="0" collapsed="false">
      <c r="B3" s="17" t="s">
        <v>40</v>
      </c>
      <c r="C3" s="17"/>
      <c r="D3" s="17"/>
      <c r="E3" s="17"/>
      <c r="F3" s="17"/>
    </row>
    <row r="5" customFormat="false" ht="15" hidden="false" customHeight="false" outlineLevel="0" collapsed="false">
      <c r="B5" s="7" t="s">
        <v>41</v>
      </c>
      <c r="C5" s="7" t="s">
        <v>42</v>
      </c>
      <c r="D5" s="7" t="s">
        <v>43</v>
      </c>
      <c r="E5" s="7" t="s">
        <v>44</v>
      </c>
      <c r="F5" s="7" t="s">
        <v>45</v>
      </c>
    </row>
    <row r="6" customFormat="false" ht="15" hidden="false" customHeight="false" outlineLevel="0" collapsed="false">
      <c r="B6" s="18" t="s">
        <v>46</v>
      </c>
      <c r="C6" s="19" t="s">
        <v>47</v>
      </c>
      <c r="D6" s="18" t="n">
        <v>7</v>
      </c>
      <c r="E6" s="20" t="n">
        <v>350000</v>
      </c>
      <c r="F6" s="20" t="n">
        <f aca="false">D6*E6</f>
        <v>2450000</v>
      </c>
    </row>
    <row r="7" customFormat="false" ht="15" hidden="false" customHeight="false" outlineLevel="0" collapsed="false">
      <c r="B7" s="18" t="s">
        <v>46</v>
      </c>
      <c r="C7" s="21" t="s">
        <v>48</v>
      </c>
      <c r="D7" s="18" t="n">
        <v>5</v>
      </c>
      <c r="E7" s="20" t="n">
        <v>350000</v>
      </c>
      <c r="F7" s="20" t="n">
        <f aca="false">D7*E7</f>
        <v>1750000</v>
      </c>
    </row>
    <row r="8" customFormat="false" ht="15" hidden="false" customHeight="false" outlineLevel="0" collapsed="false">
      <c r="B8" s="18" t="s">
        <v>46</v>
      </c>
      <c r="C8" s="21" t="s">
        <v>49</v>
      </c>
      <c r="D8" s="18" t="n">
        <v>8</v>
      </c>
      <c r="E8" s="20" t="n">
        <v>350000</v>
      </c>
      <c r="F8" s="20" t="n">
        <f aca="false">D8*E8</f>
        <v>2800000</v>
      </c>
    </row>
    <row r="9" customFormat="false" ht="15" hidden="false" customHeight="false" outlineLevel="0" collapsed="false">
      <c r="B9" s="18" t="s">
        <v>50</v>
      </c>
      <c r="C9" s="19" t="s">
        <v>51</v>
      </c>
      <c r="D9" s="18" t="n">
        <v>5</v>
      </c>
      <c r="E9" s="20" t="n">
        <v>350000</v>
      </c>
      <c r="F9" s="20" t="n">
        <f aca="false">D9*E9</f>
        <v>1750000</v>
      </c>
    </row>
    <row r="10" customFormat="false" ht="15" hidden="false" customHeight="false" outlineLevel="0" collapsed="false">
      <c r="B10" s="18" t="s">
        <v>50</v>
      </c>
      <c r="C10" s="19" t="s">
        <v>52</v>
      </c>
      <c r="D10" s="18" t="n">
        <v>3</v>
      </c>
      <c r="E10" s="20" t="n">
        <v>350000</v>
      </c>
      <c r="F10" s="20" t="n">
        <f aca="false">D10*E10</f>
        <v>1050000</v>
      </c>
    </row>
    <row r="11" customFormat="false" ht="15" hidden="false" customHeight="false" outlineLevel="0" collapsed="false">
      <c r="B11" s="18" t="s">
        <v>50</v>
      </c>
      <c r="C11" s="19" t="s">
        <v>53</v>
      </c>
      <c r="D11" s="18" t="n">
        <v>4</v>
      </c>
      <c r="E11" s="20" t="n">
        <v>350000</v>
      </c>
      <c r="F11" s="20" t="n">
        <f aca="false">D11*E11</f>
        <v>1400000</v>
      </c>
    </row>
    <row r="12" customFormat="false" ht="15" hidden="false" customHeight="false" outlineLevel="0" collapsed="false">
      <c r="B12" s="18" t="s">
        <v>54</v>
      </c>
      <c r="C12" s="19" t="s">
        <v>55</v>
      </c>
      <c r="D12" s="18" t="n">
        <v>5</v>
      </c>
      <c r="E12" s="20" t="n">
        <v>350000</v>
      </c>
      <c r="F12" s="20" t="n">
        <f aca="false">D12*E12</f>
        <v>1750000</v>
      </c>
    </row>
    <row r="13" customFormat="false" ht="15" hidden="false" customHeight="false" outlineLevel="0" collapsed="false">
      <c r="B13" s="18" t="s">
        <v>54</v>
      </c>
      <c r="C13" s="19" t="s">
        <v>56</v>
      </c>
      <c r="D13" s="18" t="n">
        <v>4</v>
      </c>
      <c r="E13" s="20" t="n">
        <v>350000</v>
      </c>
      <c r="F13" s="20" t="n">
        <f aca="false">D13*E13</f>
        <v>1400000</v>
      </c>
    </row>
    <row r="14" customFormat="false" ht="15" hidden="false" customHeight="false" outlineLevel="0" collapsed="false">
      <c r="B14" s="18" t="s">
        <v>54</v>
      </c>
      <c r="C14" s="19" t="s">
        <v>57</v>
      </c>
      <c r="D14" s="18" t="n">
        <v>3</v>
      </c>
      <c r="E14" s="20" t="n">
        <v>350000</v>
      </c>
      <c r="F14" s="20" t="n">
        <f aca="false">D14*E14</f>
        <v>1050000</v>
      </c>
    </row>
    <row r="15" customFormat="false" ht="15" hidden="false" customHeight="false" outlineLevel="0" collapsed="false">
      <c r="B15" s="18" t="s">
        <v>54</v>
      </c>
      <c r="C15" s="19" t="s">
        <v>58</v>
      </c>
      <c r="D15" s="18" t="n">
        <v>3</v>
      </c>
      <c r="E15" s="20" t="n">
        <v>350000</v>
      </c>
      <c r="F15" s="20" t="n">
        <f aca="false">D15*E15</f>
        <v>1050000</v>
      </c>
    </row>
    <row r="16" customFormat="false" ht="15" hidden="false" customHeight="false" outlineLevel="0" collapsed="false">
      <c r="B16" s="18" t="s">
        <v>59</v>
      </c>
      <c r="C16" s="19" t="s">
        <v>60</v>
      </c>
      <c r="D16" s="18" t="n">
        <v>9</v>
      </c>
      <c r="E16" s="20" t="n">
        <v>350000</v>
      </c>
      <c r="F16" s="20" t="n">
        <f aca="false">D16*E16</f>
        <v>3150000</v>
      </c>
    </row>
    <row r="17" customFormat="false" ht="15" hidden="false" customHeight="false" outlineLevel="0" collapsed="false">
      <c r="B17" s="18" t="s">
        <v>61</v>
      </c>
      <c r="C17" s="19" t="s">
        <v>62</v>
      </c>
      <c r="D17" s="18" t="n">
        <v>7</v>
      </c>
      <c r="E17" s="20" t="n">
        <v>350000</v>
      </c>
      <c r="F17" s="20" t="n">
        <f aca="false">D17*E17</f>
        <v>2450000</v>
      </c>
    </row>
    <row r="18" customFormat="false" ht="15" hidden="false" customHeight="false" outlineLevel="0" collapsed="false">
      <c r="B18" s="18" t="s">
        <v>63</v>
      </c>
      <c r="C18" s="19" t="s">
        <v>64</v>
      </c>
      <c r="D18" s="18" t="n">
        <v>4</v>
      </c>
      <c r="E18" s="20" t="n">
        <v>350000</v>
      </c>
      <c r="F18" s="20" t="n">
        <f aca="false">D18*E18</f>
        <v>1400000</v>
      </c>
    </row>
    <row r="19" customFormat="false" ht="15" hidden="false" customHeight="false" outlineLevel="0" collapsed="false">
      <c r="B19" s="18" t="s">
        <v>63</v>
      </c>
      <c r="C19" s="19" t="s">
        <v>65</v>
      </c>
      <c r="D19" s="18" t="n">
        <v>5</v>
      </c>
      <c r="E19" s="20" t="n">
        <v>350000</v>
      </c>
      <c r="F19" s="20" t="n">
        <f aca="false">D19*E19</f>
        <v>1750000</v>
      </c>
    </row>
    <row r="20" customFormat="false" ht="15" hidden="false" customHeight="false" outlineLevel="0" collapsed="false">
      <c r="B20" s="18" t="s">
        <v>63</v>
      </c>
      <c r="C20" s="19" t="s">
        <v>66</v>
      </c>
      <c r="D20" s="18" t="n">
        <v>7</v>
      </c>
      <c r="E20" s="20" t="n">
        <v>350000</v>
      </c>
      <c r="F20" s="20" t="n">
        <f aca="false">D20*E20</f>
        <v>2450000</v>
      </c>
    </row>
    <row r="21" customFormat="false" ht="15" hidden="false" customHeight="false" outlineLevel="0" collapsed="false">
      <c r="B21" s="18" t="s">
        <v>67</v>
      </c>
      <c r="C21" s="19" t="s">
        <v>68</v>
      </c>
      <c r="D21" s="18" t="n">
        <v>11</v>
      </c>
      <c r="E21" s="20" t="n">
        <v>350000</v>
      </c>
      <c r="F21" s="20" t="n">
        <f aca="false">D21*E21</f>
        <v>3850000</v>
      </c>
    </row>
    <row r="22" customFormat="false" ht="15" hidden="false" customHeight="false" outlineLevel="0" collapsed="false">
      <c r="B22" s="18" t="s">
        <v>67</v>
      </c>
      <c r="C22" s="19" t="s">
        <v>69</v>
      </c>
      <c r="D22" s="18" t="n">
        <v>11</v>
      </c>
      <c r="E22" s="20" t="n">
        <v>350000</v>
      </c>
      <c r="F22" s="20" t="n">
        <f aca="false">D22*E22</f>
        <v>3850000</v>
      </c>
    </row>
    <row r="23" customFormat="false" ht="15" hidden="false" customHeight="false" outlineLevel="0" collapsed="false">
      <c r="B23" s="22" t="s">
        <v>70</v>
      </c>
      <c r="C23" s="19" t="s">
        <v>71</v>
      </c>
      <c r="D23" s="18" t="n">
        <v>6</v>
      </c>
      <c r="E23" s="20" t="n">
        <v>350000</v>
      </c>
      <c r="F23" s="20" t="n">
        <f aca="false">D23*E23</f>
        <v>2100000</v>
      </c>
    </row>
    <row r="24" customFormat="false" ht="15" hidden="false" customHeight="false" outlineLevel="0" collapsed="false">
      <c r="B24" s="18" t="s">
        <v>72</v>
      </c>
      <c r="C24" s="19" t="s">
        <v>73</v>
      </c>
      <c r="D24" s="18" t="n">
        <v>3</v>
      </c>
      <c r="E24" s="20" t="n">
        <v>350000</v>
      </c>
      <c r="F24" s="20" t="n">
        <f aca="false">D24*E24</f>
        <v>1050000</v>
      </c>
    </row>
    <row r="25" customFormat="false" ht="15" hidden="false" customHeight="false" outlineLevel="0" collapsed="false">
      <c r="B25" s="23"/>
      <c r="C25" s="24" t="s">
        <v>74</v>
      </c>
      <c r="D25" s="25" t="n">
        <f aca="false">SUM(D6:D24)</f>
        <v>110</v>
      </c>
      <c r="E25" s="23"/>
      <c r="F25" s="26" t="n">
        <f aca="false">SUM(F6:F24)</f>
        <v>38500000</v>
      </c>
    </row>
    <row r="26" customFormat="false" ht="15" hidden="false" customHeight="false" outlineLevel="0" collapsed="false">
      <c r="B26" s="27"/>
      <c r="C26" s="28" t="s">
        <v>75</v>
      </c>
      <c r="D26" s="27"/>
      <c r="E26" s="27"/>
      <c r="F26" s="20" t="n">
        <f aca="false">F25*0.15</f>
        <v>5775000</v>
      </c>
    </row>
    <row r="27" customFormat="false" ht="15" hidden="false" customHeight="false" outlineLevel="0" collapsed="false">
      <c r="B27" s="29"/>
      <c r="C27" s="30" t="s">
        <v>76</v>
      </c>
      <c r="D27" s="29"/>
      <c r="E27" s="29"/>
      <c r="F27" s="31" t="n">
        <f aca="false">F25+F26</f>
        <v>44275000</v>
      </c>
    </row>
    <row r="28" customFormat="false" ht="15" hidden="false" customHeight="false" outlineLevel="0" collapsed="false">
      <c r="B28" s="27"/>
      <c r="C28" s="28" t="s">
        <v>77</v>
      </c>
      <c r="D28" s="27"/>
      <c r="E28" s="27"/>
      <c r="F28" s="20" t="n">
        <f aca="false">F27*0.1</f>
        <v>4427500</v>
      </c>
    </row>
    <row r="29" customFormat="false" ht="19.4" hidden="false" customHeight="false" outlineLevel="0" collapsed="false">
      <c r="B29" s="32"/>
      <c r="C29" s="33" t="s">
        <v>78</v>
      </c>
      <c r="D29" s="32"/>
      <c r="E29" s="32"/>
      <c r="F29" s="34" t="n">
        <f aca="false">F27+F28</f>
        <v>48702500</v>
      </c>
    </row>
    <row r="100" customFormat="false" ht="15" hidden="false" customHeight="false" outlineLevel="0" collapsed="false">
      <c r="E100" s="35" t="n">
        <f aca="false">F27</f>
        <v>44275000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6" min="5" style="0" width="16"/>
  </cols>
  <sheetData>
    <row r="2" customFormat="false" ht="23.85" hidden="false" customHeight="true" outlineLevel="0" collapsed="false">
      <c r="B2" s="16" t="s">
        <v>80</v>
      </c>
      <c r="C2" s="16"/>
      <c r="D2" s="16"/>
      <c r="E2" s="16"/>
      <c r="F2" s="16"/>
    </row>
    <row r="3" customFormat="false" ht="15" hidden="false" customHeight="true" outlineLevel="0" collapsed="false">
      <c r="B3" s="17" t="s">
        <v>40</v>
      </c>
      <c r="C3" s="17"/>
      <c r="D3" s="17"/>
      <c r="E3" s="17"/>
      <c r="F3" s="17"/>
    </row>
    <row r="5" customFormat="false" ht="15" hidden="false" customHeight="false" outlineLevel="0" collapsed="false">
      <c r="B5" s="7" t="s">
        <v>41</v>
      </c>
      <c r="C5" s="7" t="s">
        <v>42</v>
      </c>
      <c r="D5" s="7" t="s">
        <v>43</v>
      </c>
      <c r="E5" s="7" t="s">
        <v>44</v>
      </c>
      <c r="F5" s="7" t="s">
        <v>45</v>
      </c>
    </row>
    <row r="6" customFormat="false" ht="15" hidden="false" customHeight="false" outlineLevel="0" collapsed="false">
      <c r="B6" s="18" t="s">
        <v>46</v>
      </c>
      <c r="C6" s="19" t="s">
        <v>47</v>
      </c>
      <c r="D6" s="18" t="n">
        <v>8</v>
      </c>
      <c r="E6" s="20" t="n">
        <v>350000</v>
      </c>
      <c r="F6" s="20" t="n">
        <f aca="false">D6*E6</f>
        <v>2800000</v>
      </c>
    </row>
    <row r="7" customFormat="false" ht="15" hidden="false" customHeight="false" outlineLevel="0" collapsed="false">
      <c r="B7" s="18" t="s">
        <v>46</v>
      </c>
      <c r="C7" s="21" t="s">
        <v>48</v>
      </c>
      <c r="D7" s="18" t="n">
        <v>7</v>
      </c>
      <c r="E7" s="20" t="n">
        <v>350000</v>
      </c>
      <c r="F7" s="20" t="n">
        <f aca="false">D7*E7</f>
        <v>2450000</v>
      </c>
    </row>
    <row r="8" customFormat="false" ht="15" hidden="false" customHeight="false" outlineLevel="0" collapsed="false">
      <c r="B8" s="18" t="s">
        <v>46</v>
      </c>
      <c r="C8" s="21" t="s">
        <v>49</v>
      </c>
      <c r="D8" s="18" t="n">
        <v>9</v>
      </c>
      <c r="E8" s="20" t="n">
        <v>350000</v>
      </c>
      <c r="F8" s="20" t="n">
        <f aca="false">D8*E8</f>
        <v>3150000</v>
      </c>
    </row>
    <row r="9" customFormat="false" ht="15" hidden="false" customHeight="false" outlineLevel="0" collapsed="false">
      <c r="B9" s="18" t="s">
        <v>50</v>
      </c>
      <c r="C9" s="19" t="s">
        <v>51</v>
      </c>
      <c r="D9" s="18" t="n">
        <v>5</v>
      </c>
      <c r="E9" s="20" t="n">
        <v>350000</v>
      </c>
      <c r="F9" s="20" t="n">
        <f aca="false">D9*E9</f>
        <v>1750000</v>
      </c>
    </row>
    <row r="10" customFormat="false" ht="15" hidden="false" customHeight="false" outlineLevel="0" collapsed="false">
      <c r="B10" s="18" t="s">
        <v>50</v>
      </c>
      <c r="C10" s="19" t="s">
        <v>52</v>
      </c>
      <c r="D10" s="18" t="n">
        <v>3</v>
      </c>
      <c r="E10" s="20" t="n">
        <v>350000</v>
      </c>
      <c r="F10" s="20" t="n">
        <f aca="false">D10*E10</f>
        <v>1050000</v>
      </c>
    </row>
    <row r="11" customFormat="false" ht="15" hidden="false" customHeight="false" outlineLevel="0" collapsed="false">
      <c r="B11" s="18" t="s">
        <v>50</v>
      </c>
      <c r="C11" s="19" t="s">
        <v>53</v>
      </c>
      <c r="D11" s="18" t="n">
        <v>4</v>
      </c>
      <c r="E11" s="20" t="n">
        <v>350000</v>
      </c>
      <c r="F11" s="20" t="n">
        <f aca="false">D11*E11</f>
        <v>1400000</v>
      </c>
    </row>
    <row r="12" customFormat="false" ht="15" hidden="false" customHeight="false" outlineLevel="0" collapsed="false">
      <c r="B12" s="18" t="s">
        <v>54</v>
      </c>
      <c r="C12" s="19" t="s">
        <v>55</v>
      </c>
      <c r="D12" s="18" t="n">
        <v>5</v>
      </c>
      <c r="E12" s="20" t="n">
        <v>350000</v>
      </c>
      <c r="F12" s="20" t="n">
        <f aca="false">D12*E12</f>
        <v>1750000</v>
      </c>
    </row>
    <row r="13" customFormat="false" ht="15" hidden="false" customHeight="false" outlineLevel="0" collapsed="false">
      <c r="B13" s="18" t="s">
        <v>54</v>
      </c>
      <c r="C13" s="19" t="s">
        <v>56</v>
      </c>
      <c r="D13" s="18" t="n">
        <v>4</v>
      </c>
      <c r="E13" s="20" t="n">
        <v>350000</v>
      </c>
      <c r="F13" s="20" t="n">
        <f aca="false">D13*E13</f>
        <v>1400000</v>
      </c>
    </row>
    <row r="14" customFormat="false" ht="15" hidden="false" customHeight="false" outlineLevel="0" collapsed="false">
      <c r="B14" s="18" t="s">
        <v>54</v>
      </c>
      <c r="C14" s="19" t="s">
        <v>57</v>
      </c>
      <c r="D14" s="18" t="n">
        <v>3</v>
      </c>
      <c r="E14" s="20" t="n">
        <v>350000</v>
      </c>
      <c r="F14" s="20" t="n">
        <f aca="false">D14*E14</f>
        <v>1050000</v>
      </c>
    </row>
    <row r="15" customFormat="false" ht="15" hidden="false" customHeight="false" outlineLevel="0" collapsed="false">
      <c r="B15" s="18" t="s">
        <v>54</v>
      </c>
      <c r="C15" s="19" t="s">
        <v>58</v>
      </c>
      <c r="D15" s="18" t="n">
        <v>3</v>
      </c>
      <c r="E15" s="20" t="n">
        <v>350000</v>
      </c>
      <c r="F15" s="20" t="n">
        <f aca="false">D15*E15</f>
        <v>1050000</v>
      </c>
    </row>
    <row r="16" customFormat="false" ht="15" hidden="false" customHeight="false" outlineLevel="0" collapsed="false">
      <c r="B16" s="18" t="s">
        <v>59</v>
      </c>
      <c r="C16" s="19" t="s">
        <v>60</v>
      </c>
      <c r="D16" s="18" t="n">
        <v>18</v>
      </c>
      <c r="E16" s="20" t="n">
        <v>350000</v>
      </c>
      <c r="F16" s="20" t="n">
        <f aca="false">D16*E16</f>
        <v>6300000</v>
      </c>
    </row>
    <row r="17" customFormat="false" ht="15" hidden="false" customHeight="false" outlineLevel="0" collapsed="false">
      <c r="B17" s="18" t="s">
        <v>61</v>
      </c>
      <c r="C17" s="19" t="s">
        <v>62</v>
      </c>
      <c r="D17" s="18" t="n">
        <v>8</v>
      </c>
      <c r="E17" s="20" t="n">
        <v>350000</v>
      </c>
      <c r="F17" s="20" t="n">
        <f aca="false">D17*E17</f>
        <v>2800000</v>
      </c>
    </row>
    <row r="18" customFormat="false" ht="15" hidden="false" customHeight="false" outlineLevel="0" collapsed="false">
      <c r="B18" s="18" t="s">
        <v>63</v>
      </c>
      <c r="C18" s="19" t="s">
        <v>64</v>
      </c>
      <c r="D18" s="18" t="n">
        <v>4</v>
      </c>
      <c r="E18" s="20" t="n">
        <v>350000</v>
      </c>
      <c r="F18" s="20" t="n">
        <f aca="false">D18*E18</f>
        <v>1400000</v>
      </c>
    </row>
    <row r="19" customFormat="false" ht="15" hidden="false" customHeight="false" outlineLevel="0" collapsed="false">
      <c r="B19" s="18" t="s">
        <v>63</v>
      </c>
      <c r="C19" s="19" t="s">
        <v>65</v>
      </c>
      <c r="D19" s="18" t="n">
        <v>5</v>
      </c>
      <c r="E19" s="20" t="n">
        <v>350000</v>
      </c>
      <c r="F19" s="20" t="n">
        <f aca="false">D19*E19</f>
        <v>1750000</v>
      </c>
    </row>
    <row r="20" customFormat="false" ht="15" hidden="false" customHeight="false" outlineLevel="0" collapsed="false">
      <c r="B20" s="18" t="s">
        <v>63</v>
      </c>
      <c r="C20" s="19" t="s">
        <v>66</v>
      </c>
      <c r="D20" s="18" t="n">
        <v>7</v>
      </c>
      <c r="E20" s="20" t="n">
        <v>350000</v>
      </c>
      <c r="F20" s="20" t="n">
        <f aca="false">D20*E20</f>
        <v>2450000</v>
      </c>
    </row>
    <row r="21" customFormat="false" ht="15" hidden="false" customHeight="false" outlineLevel="0" collapsed="false">
      <c r="B21" s="18" t="s">
        <v>67</v>
      </c>
      <c r="C21" s="19" t="s">
        <v>68</v>
      </c>
      <c r="D21" s="18" t="n">
        <v>13</v>
      </c>
      <c r="E21" s="20" t="n">
        <v>350000</v>
      </c>
      <c r="F21" s="20" t="n">
        <f aca="false">D21*E21</f>
        <v>4550000</v>
      </c>
    </row>
    <row r="22" customFormat="false" ht="15" hidden="false" customHeight="false" outlineLevel="0" collapsed="false">
      <c r="B22" s="18" t="s">
        <v>67</v>
      </c>
      <c r="C22" s="19" t="s">
        <v>69</v>
      </c>
      <c r="D22" s="18" t="n">
        <v>14</v>
      </c>
      <c r="E22" s="20" t="n">
        <v>350000</v>
      </c>
      <c r="F22" s="20" t="n">
        <f aca="false">D22*E22</f>
        <v>4900000</v>
      </c>
    </row>
    <row r="23" customFormat="false" ht="15" hidden="false" customHeight="false" outlineLevel="0" collapsed="false">
      <c r="B23" s="22" t="s">
        <v>70</v>
      </c>
      <c r="C23" s="19" t="s">
        <v>71</v>
      </c>
      <c r="D23" s="18" t="n">
        <v>8</v>
      </c>
      <c r="E23" s="20" t="n">
        <v>350000</v>
      </c>
      <c r="F23" s="20" t="n">
        <f aca="false">D23*E23</f>
        <v>2800000</v>
      </c>
    </row>
    <row r="24" customFormat="false" ht="15" hidden="false" customHeight="false" outlineLevel="0" collapsed="false">
      <c r="B24" s="18" t="s">
        <v>72</v>
      </c>
      <c r="C24" s="19" t="s">
        <v>73</v>
      </c>
      <c r="D24" s="18" t="n">
        <v>4</v>
      </c>
      <c r="E24" s="20" t="n">
        <v>350000</v>
      </c>
      <c r="F24" s="20" t="n">
        <f aca="false">D24*E24</f>
        <v>1400000</v>
      </c>
    </row>
    <row r="25" customFormat="false" ht="15" hidden="false" customHeight="false" outlineLevel="0" collapsed="false">
      <c r="B25" s="23"/>
      <c r="C25" s="24" t="s">
        <v>74</v>
      </c>
      <c r="D25" s="25" t="n">
        <f aca="false">SUM(D6:D24)</f>
        <v>132</v>
      </c>
      <c r="E25" s="23"/>
      <c r="F25" s="26" t="n">
        <f aca="false">SUM(F6:F24)</f>
        <v>46200000</v>
      </c>
    </row>
    <row r="26" customFormat="false" ht="15" hidden="false" customHeight="false" outlineLevel="0" collapsed="false">
      <c r="B26" s="27"/>
      <c r="C26" s="28" t="s">
        <v>75</v>
      </c>
      <c r="D26" s="27"/>
      <c r="E26" s="27"/>
      <c r="F26" s="20" t="n">
        <f aca="false">F25*0.15</f>
        <v>6930000</v>
      </c>
    </row>
    <row r="27" customFormat="false" ht="15" hidden="false" customHeight="false" outlineLevel="0" collapsed="false">
      <c r="B27" s="29"/>
      <c r="C27" s="30" t="s">
        <v>76</v>
      </c>
      <c r="D27" s="29"/>
      <c r="E27" s="29"/>
      <c r="F27" s="31" t="n">
        <f aca="false">F25+F26</f>
        <v>53130000</v>
      </c>
    </row>
    <row r="28" customFormat="false" ht="15" hidden="false" customHeight="false" outlineLevel="0" collapsed="false">
      <c r="B28" s="27"/>
      <c r="C28" s="28" t="s">
        <v>77</v>
      </c>
      <c r="D28" s="27"/>
      <c r="E28" s="27"/>
      <c r="F28" s="20" t="n">
        <f aca="false">F27*0.1</f>
        <v>5313000</v>
      </c>
    </row>
    <row r="29" customFormat="false" ht="19.4" hidden="false" customHeight="false" outlineLevel="0" collapsed="false">
      <c r="B29" s="32"/>
      <c r="C29" s="33" t="s">
        <v>78</v>
      </c>
      <c r="D29" s="32"/>
      <c r="E29" s="32"/>
      <c r="F29" s="34" t="n">
        <f aca="false">F27+F28</f>
        <v>58443000</v>
      </c>
    </row>
    <row r="100" customFormat="false" ht="15" hidden="false" customHeight="false" outlineLevel="0" collapsed="false">
      <c r="E100" s="35" t="n">
        <f aca="false">F27</f>
        <v>53130000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2026-06-03T08:52:24Z</dcterms:created>
  <dc:creator>openpyxl</dc:creator>
  <dc:description/>
  <dc:language>en-US</dc:language>
  <cp:lastModifiedBy/>
  <dcterms:modified xsi:type="dcterms:W3CDTF">2026-06-03T08:52:24Z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